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-2026-06B\Office Automation\Lesson 14\"/>
    </mc:Choice>
  </mc:AlternateContent>
  <xr:revisionPtr revIDLastSave="0" documentId="13_ncr:1_{4BACE47C-A26B-4E6D-9F16-914F4DF661C7}" xr6:coauthVersionLast="47" xr6:coauthVersionMax="47" xr10:uidLastSave="{00000000-0000-0000-0000-000000000000}"/>
  <bookViews>
    <workbookView xWindow="-120" yWindow="-120" windowWidth="19440" windowHeight="15000" activeTab="1" xr2:uid="{F7AB88C6-C70A-44C3-9EED-D7C36364BEC8}"/>
  </bookViews>
  <sheets>
    <sheet name="Products" sheetId="2" r:id="rId1"/>
    <sheet name="Report" sheetId="1" r:id="rId2"/>
  </sheets>
  <definedNames>
    <definedName name="_xlnm._FilterDatabase" localSheetId="0" hidden="1">Products!$A$2:$C$9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" i="1" l="1"/>
  <c r="I7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5" i="1"/>
  <c r="I4" i="1"/>
  <c r="G5" i="1"/>
  <c r="H5" i="1" s="1"/>
  <c r="G6" i="1"/>
  <c r="G7" i="1"/>
  <c r="H7" i="1" s="1"/>
  <c r="G9" i="1"/>
  <c r="H9" i="1" s="1"/>
  <c r="G10" i="1"/>
  <c r="G11" i="1"/>
  <c r="G12" i="1"/>
  <c r="H12" i="1" s="1"/>
  <c r="G13" i="1"/>
  <c r="H13" i="1" s="1"/>
  <c r="G14" i="1"/>
  <c r="G15" i="1"/>
  <c r="H15" i="1" s="1"/>
  <c r="G16" i="1"/>
  <c r="H16" i="1" s="1"/>
  <c r="G17" i="1"/>
  <c r="H17" i="1" s="1"/>
  <c r="G18" i="1"/>
  <c r="G19" i="1"/>
  <c r="H19" i="1" s="1"/>
  <c r="G20" i="1"/>
  <c r="H20" i="1" s="1"/>
  <c r="G21" i="1"/>
  <c r="H21" i="1" s="1"/>
  <c r="G4" i="1"/>
  <c r="H4" i="1" s="1"/>
  <c r="H11" i="1"/>
  <c r="H6" i="1"/>
  <c r="H10" i="1"/>
  <c r="H14" i="1"/>
  <c r="H18" i="1"/>
  <c r="D5" i="1"/>
  <c r="D6" i="1"/>
  <c r="D7" i="1"/>
  <c r="D8" i="1"/>
  <c r="F8" i="1" s="1"/>
  <c r="G8" i="1" s="1"/>
  <c r="H8" i="1" s="1"/>
  <c r="I8" i="1" s="1"/>
  <c r="D9" i="1"/>
  <c r="D10" i="1"/>
  <c r="D11" i="1"/>
  <c r="D12" i="1"/>
  <c r="F12" i="1" s="1"/>
  <c r="D13" i="1"/>
  <c r="D14" i="1"/>
  <c r="D15" i="1"/>
  <c r="D16" i="1"/>
  <c r="F16" i="1" s="1"/>
  <c r="D17" i="1"/>
  <c r="D18" i="1"/>
  <c r="D19" i="1"/>
  <c r="D20" i="1"/>
  <c r="F20" i="1" s="1"/>
  <c r="D21" i="1"/>
  <c r="D4" i="1"/>
  <c r="F4" i="1" s="1"/>
  <c r="F5" i="1"/>
  <c r="F6" i="1"/>
  <c r="F7" i="1"/>
  <c r="F9" i="1"/>
  <c r="F10" i="1"/>
  <c r="F11" i="1"/>
  <c r="F13" i="1"/>
  <c r="F14" i="1"/>
  <c r="F15" i="1"/>
  <c r="F17" i="1"/>
  <c r="F18" i="1"/>
  <c r="F19" i="1"/>
  <c r="F21" i="1"/>
</calcChain>
</file>

<file path=xl/sharedStrings.xml><?xml version="1.0" encoding="utf-8"?>
<sst xmlns="http://schemas.openxmlformats.org/spreadsheetml/2006/main" count="58" uniqueCount="33">
  <si>
    <t>Student Name</t>
  </si>
  <si>
    <t>Abdul Rehman</t>
  </si>
  <si>
    <t>Muhammad Yahya</t>
  </si>
  <si>
    <t>Abdul Rafay</t>
  </si>
  <si>
    <t>Abdul Sattar</t>
  </si>
  <si>
    <t>Rayyan</t>
  </si>
  <si>
    <t>Hamza</t>
  </si>
  <si>
    <t>Asim</t>
  </si>
  <si>
    <t>Siddiq</t>
  </si>
  <si>
    <t>Anas Junaid</t>
  </si>
  <si>
    <t>Zohaib</t>
  </si>
  <si>
    <t>Hammad</t>
  </si>
  <si>
    <t>Zarah</t>
  </si>
  <si>
    <t>Sidra</t>
  </si>
  <si>
    <t>#</t>
  </si>
  <si>
    <t>PRODUCTS</t>
  </si>
  <si>
    <t>Product Name</t>
  </si>
  <si>
    <t>Price</t>
  </si>
  <si>
    <t>Iron</t>
  </si>
  <si>
    <t>Blender</t>
  </si>
  <si>
    <t>Microwave Oven</t>
  </si>
  <si>
    <t>Air Fryer</t>
  </si>
  <si>
    <t>Infrared Cooker</t>
  </si>
  <si>
    <t>Sandwich Maker</t>
  </si>
  <si>
    <t>Refrigerator</t>
  </si>
  <si>
    <t>Quantity</t>
  </si>
  <si>
    <t>Price For 1 Product</t>
  </si>
  <si>
    <t>Discount:</t>
  </si>
  <si>
    <t>Discount Applied</t>
  </si>
  <si>
    <t>Final Price</t>
  </si>
  <si>
    <t>SALES REPORT</t>
  </si>
  <si>
    <t>Tax (13%)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</si>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</sst>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1" fillId="2" borderId="7" xfId="0" applyFont="1" applyFill="1" applyBorder="1" applyAlignment="1">
      <alignment horizontal="right" vertical="center"/>
    </xf>
    <xf numFmtId="0" fontId="0" fillId="0" borderId="9" xfId="0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DB38D-599F-48AF-800F-D852FE51650D}">
  <dimension ref="A1:C9"/>
  <sheetViews>
    <sheetView zoomScale="190" zoomScaleNormal="190" workbookViewId="0">
      <selection activeCell="B3" sqref="B3"/>
    </sheetView>
  </sheetViews>
  <sheetFormatPr defaultRowHeight="15" x14ac:dyDescent="0.25"/>
  <cols>
    <col min="2" max="2" width="15.5703125" customWidth="1"/>
  </cols>
  <sheetData>
    <row r="1" spans="1:3" x14ac:dyDescent="0.25">
      <c r="A1" s="11" t="s">
        <v>15</v>
      </c>
      <c r="B1" s="12"/>
      <c r="C1" s="13"/>
    </row>
    <row r="2" spans="1:3" x14ac:dyDescent="0.25">
      <c r="A2" s="1" t="s">
        <v>14</v>
      </c>
      <c r="B2" s="2" t="s">
        <v>16</v>
      </c>
      <c r="C2" s="3" t="s">
        <v>17</v>
      </c>
    </row>
    <row r="3" spans="1:3" x14ac:dyDescent="0.25">
      <c r="A3" s="1">
        <v>1</v>
      </c>
      <c r="B3" s="2" t="s">
        <v>18</v>
      </c>
      <c r="C3" s="4">
        <v>7656</v>
      </c>
    </row>
    <row r="4" spans="1:3" x14ac:dyDescent="0.25">
      <c r="A4" s="1">
        <v>2</v>
      </c>
      <c r="B4" s="2" t="s">
        <v>19</v>
      </c>
      <c r="C4" s="4">
        <v>10780</v>
      </c>
    </row>
    <row r="5" spans="1:3" x14ac:dyDescent="0.25">
      <c r="A5" s="1">
        <v>3</v>
      </c>
      <c r="B5" s="2" t="s">
        <v>20</v>
      </c>
      <c r="C5" s="4">
        <v>30325</v>
      </c>
    </row>
    <row r="6" spans="1:3" x14ac:dyDescent="0.25">
      <c r="A6" s="1">
        <v>4</v>
      </c>
      <c r="B6" s="2" t="s">
        <v>21</v>
      </c>
      <c r="C6" s="4">
        <v>18980</v>
      </c>
    </row>
    <row r="7" spans="1:3" x14ac:dyDescent="0.25">
      <c r="A7" s="1">
        <v>5</v>
      </c>
      <c r="B7" s="2" t="s">
        <v>22</v>
      </c>
      <c r="C7" s="4">
        <v>14604</v>
      </c>
    </row>
    <row r="8" spans="1:3" x14ac:dyDescent="0.25">
      <c r="A8" s="1">
        <v>6</v>
      </c>
      <c r="B8" s="2" t="s">
        <v>23</v>
      </c>
      <c r="C8" s="4">
        <v>8800</v>
      </c>
    </row>
    <row r="9" spans="1:3" ht="15.75" thickBot="1" x14ac:dyDescent="0.3">
      <c r="A9" s="1">
        <v>7</v>
      </c>
      <c r="B9" s="6" t="s">
        <v>24</v>
      </c>
      <c r="C9" s="7">
        <v>113400</v>
      </c>
    </row>
  </sheetData>
  <autoFilter ref="A2:C9" xr:uid="{D0DDB38D-599F-48AF-800F-D852FE51650D}"/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59FC-B2E0-45A2-9454-2AA4B25C8152}">
  <dimension ref="A1:I21"/>
  <sheetViews>
    <sheetView tabSelected="1" topLeftCell="A2" zoomScale="160" zoomScaleNormal="160" workbookViewId="0">
      <selection activeCell="C3" sqref="C3"/>
    </sheetView>
  </sheetViews>
  <sheetFormatPr defaultRowHeight="15" x14ac:dyDescent="0.25"/>
  <cols>
    <col min="2" max="2" width="17.7109375" bestFit="1" customWidth="1"/>
    <col min="3" max="3" width="15.5703125" bestFit="1" customWidth="1"/>
    <col min="4" max="4" width="17.7109375" bestFit="1" customWidth="1"/>
  </cols>
  <sheetData>
    <row r="1" spans="1:9" ht="15.75" thickBot="1" x14ac:dyDescent="0.3">
      <c r="A1" s="14" t="s">
        <v>30</v>
      </c>
      <c r="B1" s="15"/>
      <c r="C1" s="15"/>
      <c r="D1" s="15"/>
      <c r="E1" s="15"/>
      <c r="F1" s="15"/>
      <c r="G1" s="15"/>
      <c r="H1" s="15"/>
      <c r="I1" s="16"/>
    </row>
    <row r="2" spans="1:9" x14ac:dyDescent="0.25">
      <c r="A2" s="17"/>
      <c r="B2" s="8" t="s">
        <v>27</v>
      </c>
      <c r="C2" s="9">
        <v>0.05</v>
      </c>
      <c r="D2" s="18"/>
      <c r="E2" s="18"/>
      <c r="F2" s="18"/>
      <c r="G2" s="18"/>
      <c r="H2" s="18"/>
      <c r="I2" s="19"/>
    </row>
    <row r="3" spans="1:9" x14ac:dyDescent="0.25">
      <c r="A3" s="1" t="s">
        <v>14</v>
      </c>
      <c r="B3" s="2" t="s">
        <v>0</v>
      </c>
      <c r="C3" s="2" t="s">
        <v>32</v>
      </c>
      <c r="D3" s="2" t="s">
        <v>26</v>
      </c>
      <c r="E3" s="2" t="s">
        <v>25</v>
      </c>
      <c r="F3" s="2" t="s">
        <v>17</v>
      </c>
      <c r="G3" s="2" t="s">
        <v>28</v>
      </c>
      <c r="H3" s="2" t="s">
        <v>29</v>
      </c>
      <c r="I3" s="20" t="s">
        <v>31</v>
      </c>
    </row>
    <row r="4" spans="1:9" x14ac:dyDescent="0.25">
      <c r="A4" s="1">
        <v>1</v>
      </c>
      <c r="B4" s="2" t="s">
        <v>1</v>
      </c>
      <c r="C4" s="2" t="s">
        <v>23</v>
      </c>
      <c r="D4" s="2">
        <f>VLOOKUP(C4,Products!$B$3:$C$9,2,FALSE)</f>
        <v>8800</v>
      </c>
      <c r="E4" s="2">
        <v>5</v>
      </c>
      <c r="F4" s="2">
        <f>D4*E4</f>
        <v>44000</v>
      </c>
      <c r="G4" s="2">
        <f>F4*$C$2</f>
        <v>2200</v>
      </c>
      <c r="H4" s="2">
        <f>F4-G4</f>
        <v>41800</v>
      </c>
      <c r="I4" s="3">
        <f>IF(H4&gt;=50000,(H4+(H4*0.13)),H4)</f>
        <v>41800</v>
      </c>
    </row>
    <row r="5" spans="1:9" x14ac:dyDescent="0.25">
      <c r="A5" s="1">
        <v>2</v>
      </c>
      <c r="B5" s="2" t="s">
        <v>2</v>
      </c>
      <c r="C5" s="2" t="s">
        <v>24</v>
      </c>
      <c r="D5" s="2">
        <f>VLOOKUP(C5,Products!$B$3:$C$9,2,FALSE)</f>
        <v>113400</v>
      </c>
      <c r="E5" s="2">
        <v>2</v>
      </c>
      <c r="F5" s="2">
        <f t="shared" ref="F5:F21" si="0">D5*E5</f>
        <v>226800</v>
      </c>
      <c r="G5" s="2">
        <f t="shared" ref="G5:G21" si="1">F5*$C$2</f>
        <v>11340</v>
      </c>
      <c r="H5" s="2">
        <f t="shared" ref="H5:H21" si="2">F5-G5</f>
        <v>215460</v>
      </c>
      <c r="I5" s="3">
        <f>IF(H5&gt;=50000,(H5+(H5*0.13)),H5)</f>
        <v>243469.8</v>
      </c>
    </row>
    <row r="6" spans="1:9" x14ac:dyDescent="0.25">
      <c r="A6" s="1">
        <v>3</v>
      </c>
      <c r="B6" s="2" t="s">
        <v>3</v>
      </c>
      <c r="C6" s="2" t="s">
        <v>21</v>
      </c>
      <c r="D6" s="2">
        <f>VLOOKUP(C6,Products!$B$3:$C$9,2,FALSE)</f>
        <v>18980</v>
      </c>
      <c r="E6" s="2">
        <v>3</v>
      </c>
      <c r="F6" s="2">
        <f t="shared" si="0"/>
        <v>56940</v>
      </c>
      <c r="G6" s="2">
        <f t="shared" si="1"/>
        <v>2847</v>
      </c>
      <c r="H6" s="2">
        <f t="shared" si="2"/>
        <v>54093</v>
      </c>
      <c r="I6" s="3">
        <f t="shared" ref="I6:I21" si="3">IF(H6&gt;=50000,(H6+(H6*0.13)),H6)</f>
        <v>61125.09</v>
      </c>
    </row>
    <row r="7" spans="1:9" x14ac:dyDescent="0.25">
      <c r="A7" s="1">
        <v>4</v>
      </c>
      <c r="B7" s="2" t="s">
        <v>4</v>
      </c>
      <c r="C7" s="2" t="s">
        <v>23</v>
      </c>
      <c r="D7" s="2">
        <f>VLOOKUP(C7,Products!$B$3:$C$9,2,FALSE)</f>
        <v>8800</v>
      </c>
      <c r="E7" s="2">
        <v>6</v>
      </c>
      <c r="F7" s="2">
        <f t="shared" si="0"/>
        <v>52800</v>
      </c>
      <c r="G7" s="2">
        <f t="shared" si="1"/>
        <v>2640</v>
      </c>
      <c r="H7" s="2">
        <f t="shared" si="2"/>
        <v>50160</v>
      </c>
      <c r="I7" s="3">
        <f t="shared" si="3"/>
        <v>56680.800000000003</v>
      </c>
    </row>
    <row r="8" spans="1:9" x14ac:dyDescent="0.25">
      <c r="A8" s="1">
        <v>5</v>
      </c>
      <c r="B8" s="2" t="s">
        <v>5</v>
      </c>
      <c r="C8" s="2" t="s">
        <v>21</v>
      </c>
      <c r="D8" s="2">
        <f>VLOOKUP(C8,Products!$B$3:$C$9,2,FALSE)</f>
        <v>18980</v>
      </c>
      <c r="E8" s="2">
        <v>1</v>
      </c>
      <c r="F8" s="2">
        <f t="shared" si="0"/>
        <v>18980</v>
      </c>
      <c r="G8" s="2">
        <f t="shared" si="1"/>
        <v>949</v>
      </c>
      <c r="H8" s="2">
        <f t="shared" si="2"/>
        <v>18031</v>
      </c>
      <c r="I8" s="3">
        <f t="shared" si="3"/>
        <v>18031</v>
      </c>
    </row>
    <row r="9" spans="1:9" x14ac:dyDescent="0.25">
      <c r="A9" s="1">
        <v>6</v>
      </c>
      <c r="B9" s="2" t="s">
        <v>6</v>
      </c>
      <c r="C9" s="2" t="s">
        <v>19</v>
      </c>
      <c r="D9" s="2">
        <f>VLOOKUP(C9,Products!$B$3:$C$9,2,FALSE)</f>
        <v>10780</v>
      </c>
      <c r="E9" s="2">
        <v>4</v>
      </c>
      <c r="F9" s="2">
        <f t="shared" si="0"/>
        <v>43120</v>
      </c>
      <c r="G9" s="2">
        <f t="shared" si="1"/>
        <v>2156</v>
      </c>
      <c r="H9" s="2">
        <f t="shared" si="2"/>
        <v>40964</v>
      </c>
      <c r="I9" s="3">
        <f t="shared" si="3"/>
        <v>40964</v>
      </c>
    </row>
    <row r="10" spans="1:9" x14ac:dyDescent="0.25">
      <c r="A10" s="1">
        <v>7</v>
      </c>
      <c r="B10" s="2" t="s">
        <v>7</v>
      </c>
      <c r="C10" s="2" t="s">
        <v>21</v>
      </c>
      <c r="D10" s="2">
        <f>VLOOKUP(C10,Products!$B$3:$C$9,2,FALSE)</f>
        <v>18980</v>
      </c>
      <c r="E10" s="2">
        <v>5</v>
      </c>
      <c r="F10" s="2">
        <f t="shared" si="0"/>
        <v>94900</v>
      </c>
      <c r="G10" s="2">
        <f t="shared" si="1"/>
        <v>4745</v>
      </c>
      <c r="H10" s="2">
        <f t="shared" si="2"/>
        <v>90155</v>
      </c>
      <c r="I10" s="3">
        <f t="shared" si="3"/>
        <v>101875.15</v>
      </c>
    </row>
    <row r="11" spans="1:9" x14ac:dyDescent="0.25">
      <c r="A11" s="1">
        <v>8</v>
      </c>
      <c r="B11" s="2" t="s">
        <v>8</v>
      </c>
      <c r="C11" s="2" t="s">
        <v>23</v>
      </c>
      <c r="D11" s="2">
        <f>VLOOKUP(C11,Products!$B$3:$C$9,2,FALSE)</f>
        <v>8800</v>
      </c>
      <c r="E11" s="2">
        <v>3</v>
      </c>
      <c r="F11" s="2">
        <f t="shared" si="0"/>
        <v>26400</v>
      </c>
      <c r="G11" s="2">
        <f t="shared" si="1"/>
        <v>1320</v>
      </c>
      <c r="H11" s="2">
        <f t="shared" si="2"/>
        <v>25080</v>
      </c>
      <c r="I11" s="3">
        <f t="shared" si="3"/>
        <v>25080</v>
      </c>
    </row>
    <row r="12" spans="1:9" x14ac:dyDescent="0.25">
      <c r="A12" s="1">
        <v>9</v>
      </c>
      <c r="B12" s="2" t="s">
        <v>9</v>
      </c>
      <c r="C12" s="2" t="s">
        <v>22</v>
      </c>
      <c r="D12" s="2">
        <f>VLOOKUP(C12,Products!$B$3:$C$9,2,FALSE)</f>
        <v>14604</v>
      </c>
      <c r="E12" s="2">
        <v>6</v>
      </c>
      <c r="F12" s="2">
        <f t="shared" si="0"/>
        <v>87624</v>
      </c>
      <c r="G12" s="2">
        <f t="shared" si="1"/>
        <v>4381.2</v>
      </c>
      <c r="H12" s="2">
        <f t="shared" si="2"/>
        <v>83242.8</v>
      </c>
      <c r="I12" s="3">
        <f t="shared" si="3"/>
        <v>94064.364000000001</v>
      </c>
    </row>
    <row r="13" spans="1:9" x14ac:dyDescent="0.25">
      <c r="A13" s="1">
        <v>10</v>
      </c>
      <c r="B13" s="2" t="s">
        <v>10</v>
      </c>
      <c r="C13" s="2" t="s">
        <v>19</v>
      </c>
      <c r="D13" s="2">
        <f>VLOOKUP(C13,Products!$B$3:$C$9,2,FALSE)</f>
        <v>10780</v>
      </c>
      <c r="E13" s="2">
        <v>1</v>
      </c>
      <c r="F13" s="2">
        <f t="shared" si="0"/>
        <v>10780</v>
      </c>
      <c r="G13" s="2">
        <f t="shared" si="1"/>
        <v>539</v>
      </c>
      <c r="H13" s="2">
        <f t="shared" si="2"/>
        <v>10241</v>
      </c>
      <c r="I13" s="3">
        <f t="shared" si="3"/>
        <v>10241</v>
      </c>
    </row>
    <row r="14" spans="1:9" x14ac:dyDescent="0.25">
      <c r="A14" s="1">
        <v>11</v>
      </c>
      <c r="B14" s="2" t="s">
        <v>11</v>
      </c>
      <c r="C14" s="2" t="s">
        <v>23</v>
      </c>
      <c r="D14" s="2">
        <f>VLOOKUP(C14,Products!$B$3:$C$9,2,FALSE)</f>
        <v>8800</v>
      </c>
      <c r="E14" s="2">
        <v>4</v>
      </c>
      <c r="F14" s="2">
        <f t="shared" si="0"/>
        <v>35200</v>
      </c>
      <c r="G14" s="2">
        <f t="shared" si="1"/>
        <v>1760</v>
      </c>
      <c r="H14" s="2">
        <f t="shared" si="2"/>
        <v>33440</v>
      </c>
      <c r="I14" s="3">
        <f t="shared" si="3"/>
        <v>33440</v>
      </c>
    </row>
    <row r="15" spans="1:9" x14ac:dyDescent="0.25">
      <c r="A15" s="1">
        <v>12</v>
      </c>
      <c r="B15" s="2" t="s">
        <v>12</v>
      </c>
      <c r="C15" s="2" t="s">
        <v>20</v>
      </c>
      <c r="D15" s="2">
        <f>VLOOKUP(C15,Products!$B$3:$C$9,2,FALSE)</f>
        <v>30325</v>
      </c>
      <c r="E15" s="2">
        <v>5</v>
      </c>
      <c r="F15" s="2">
        <f t="shared" si="0"/>
        <v>151625</v>
      </c>
      <c r="G15" s="2">
        <f t="shared" si="1"/>
        <v>7581.25</v>
      </c>
      <c r="H15" s="2">
        <f t="shared" si="2"/>
        <v>144043.75</v>
      </c>
      <c r="I15" s="3">
        <f t="shared" si="3"/>
        <v>162769.4375</v>
      </c>
    </row>
    <row r="16" spans="1:9" x14ac:dyDescent="0.25">
      <c r="A16" s="1">
        <v>13</v>
      </c>
      <c r="B16" s="2" t="s">
        <v>13</v>
      </c>
      <c r="C16" s="2" t="s">
        <v>22</v>
      </c>
      <c r="D16" s="2">
        <f>VLOOKUP(C16,Products!$B$3:$C$9,2,FALSE)</f>
        <v>14604</v>
      </c>
      <c r="E16" s="2">
        <v>1</v>
      </c>
      <c r="F16" s="2">
        <f t="shared" si="0"/>
        <v>14604</v>
      </c>
      <c r="G16" s="2">
        <f t="shared" si="1"/>
        <v>730.2</v>
      </c>
      <c r="H16" s="2">
        <f t="shared" si="2"/>
        <v>13873.8</v>
      </c>
      <c r="I16" s="3">
        <f t="shared" si="3"/>
        <v>13873.8</v>
      </c>
    </row>
    <row r="17" spans="1:9" x14ac:dyDescent="0.25">
      <c r="A17" s="1">
        <v>14</v>
      </c>
      <c r="B17" s="2" t="s">
        <v>5</v>
      </c>
      <c r="C17" s="2" t="s">
        <v>19</v>
      </c>
      <c r="D17" s="2">
        <f>VLOOKUP(C17,Products!$B$3:$C$9,2,FALSE)</f>
        <v>10780</v>
      </c>
      <c r="E17" s="2">
        <v>2</v>
      </c>
      <c r="F17" s="2">
        <f t="shared" si="0"/>
        <v>21560</v>
      </c>
      <c r="G17" s="2">
        <f t="shared" si="1"/>
        <v>1078</v>
      </c>
      <c r="H17" s="2">
        <f t="shared" si="2"/>
        <v>20482</v>
      </c>
      <c r="I17" s="3">
        <f t="shared" si="3"/>
        <v>20482</v>
      </c>
    </row>
    <row r="18" spans="1:9" x14ac:dyDescent="0.25">
      <c r="A18" s="1">
        <v>15</v>
      </c>
      <c r="B18" s="2" t="s">
        <v>9</v>
      </c>
      <c r="C18" s="2" t="s">
        <v>24</v>
      </c>
      <c r="D18" s="2">
        <f>VLOOKUP(C18,Products!$B$3:$C$9,2,FALSE)</f>
        <v>113400</v>
      </c>
      <c r="E18" s="2">
        <v>5</v>
      </c>
      <c r="F18" s="2">
        <f t="shared" si="0"/>
        <v>567000</v>
      </c>
      <c r="G18" s="2">
        <f t="shared" si="1"/>
        <v>28350</v>
      </c>
      <c r="H18" s="2">
        <f t="shared" si="2"/>
        <v>538650</v>
      </c>
      <c r="I18" s="3">
        <f t="shared" si="3"/>
        <v>608674.5</v>
      </c>
    </row>
    <row r="19" spans="1:9" x14ac:dyDescent="0.25">
      <c r="A19" s="1">
        <v>16</v>
      </c>
      <c r="B19" s="2" t="s">
        <v>3</v>
      </c>
      <c r="C19" s="2" t="s">
        <v>18</v>
      </c>
      <c r="D19" s="2">
        <f>VLOOKUP(C19,Products!$B$3:$C$9,2,FALSE)</f>
        <v>7656</v>
      </c>
      <c r="E19" s="2">
        <v>3</v>
      </c>
      <c r="F19" s="2">
        <f t="shared" si="0"/>
        <v>22968</v>
      </c>
      <c r="G19" s="2">
        <f t="shared" si="1"/>
        <v>1148.4000000000001</v>
      </c>
      <c r="H19" s="2">
        <f t="shared" si="2"/>
        <v>21819.599999999999</v>
      </c>
      <c r="I19" s="3">
        <f t="shared" si="3"/>
        <v>21819.599999999999</v>
      </c>
    </row>
    <row r="20" spans="1:9" x14ac:dyDescent="0.25">
      <c r="A20" s="1">
        <v>17</v>
      </c>
      <c r="B20" s="2" t="s">
        <v>12</v>
      </c>
      <c r="C20" s="2" t="s">
        <v>23</v>
      </c>
      <c r="D20" s="2">
        <f>VLOOKUP(C20,Products!$B$3:$C$9,2,FALSE)</f>
        <v>8800</v>
      </c>
      <c r="E20" s="2">
        <v>6</v>
      </c>
      <c r="F20" s="2">
        <f t="shared" si="0"/>
        <v>52800</v>
      </c>
      <c r="G20" s="2">
        <f t="shared" si="1"/>
        <v>2640</v>
      </c>
      <c r="H20" s="2">
        <f t="shared" si="2"/>
        <v>50160</v>
      </c>
      <c r="I20" s="3">
        <f t="shared" si="3"/>
        <v>56680.800000000003</v>
      </c>
    </row>
    <row r="21" spans="1:9" ht="15.75" thickBot="1" x14ac:dyDescent="0.3">
      <c r="A21" s="5">
        <v>18</v>
      </c>
      <c r="B21" s="6" t="s">
        <v>2</v>
      </c>
      <c r="C21" s="6" t="s">
        <v>18</v>
      </c>
      <c r="D21" s="6">
        <f>VLOOKUP(C21,Products!$B$3:$C$9,2,FALSE)</f>
        <v>7656</v>
      </c>
      <c r="E21" s="6">
        <v>1</v>
      </c>
      <c r="F21" s="6">
        <f t="shared" si="0"/>
        <v>7656</v>
      </c>
      <c r="G21" s="6">
        <f t="shared" si="1"/>
        <v>382.8</v>
      </c>
      <c r="H21" s="6">
        <f t="shared" si="2"/>
        <v>7273.2</v>
      </c>
      <c r="I21" s="10">
        <f t="shared" si="3"/>
        <v>7273.2</v>
      </c>
    </row>
  </sheetData>
  <mergeCells count="1">
    <mergeCell ref="A1:I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71A6634-4D67-4DFC-A417-212A183D4E7F}">
          <x14:formula1>
            <xm:f>Products!$B$3:$B$9</xm:f>
          </x14:formula1>
          <xm:sqref>C4:C21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2026-07-17T04:20:11Z</dcterms:created>
  <dcterms:modified xsi:type="dcterms:W3CDTF">2026-07-24T04:41:06Z</dcterms:modified>
</cp:coreProperties>
</file>