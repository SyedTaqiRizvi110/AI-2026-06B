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-2026-06B\Office Automation\Lesson 13\"/>
    </mc:Choice>
  </mc:AlternateContent>
  <xr:revisionPtr revIDLastSave="0" documentId="13_ncr:1_{8E6A26AC-FAFE-4E96-8FF9-3B12E35E110A}" xr6:coauthVersionLast="47" xr6:coauthVersionMax="47" xr10:uidLastSave="{00000000-0000-0000-0000-000000000000}"/>
  <bookViews>
    <workbookView xWindow="-120" yWindow="-120" windowWidth="19440" windowHeight="15000" activeTab="1" xr2:uid="{0E153A22-307F-4097-9EA2-CFB5981A3068}"/>
  </bookViews>
  <sheets>
    <sheet name="Sheet1" sheetId="1" r:id="rId1"/>
    <sheet name="Sheet2" sheetId="2" r:id="rId2"/>
  </sheets>
  <definedNames>
    <definedName name="_xlnm._FilterDatabase" localSheetId="1" hidden="1">Sheet2!$B$3:$G$6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7" i="2" l="1"/>
  <c r="H18" i="2"/>
  <c r="H16" i="2"/>
  <c r="C17" i="2"/>
  <c r="D17" i="2"/>
  <c r="E17" i="2"/>
  <c r="F17" i="2"/>
  <c r="G17" i="2"/>
  <c r="C18" i="2"/>
  <c r="D18" i="2"/>
  <c r="E18" i="2"/>
  <c r="F18" i="2"/>
  <c r="G18" i="2"/>
  <c r="G16" i="2"/>
  <c r="F16" i="2"/>
  <c r="E16" i="2"/>
  <c r="D16" i="2"/>
  <c r="C16" i="2"/>
  <c r="H11" i="2"/>
  <c r="H12" i="2"/>
  <c r="H10" i="2"/>
  <c r="H5" i="2"/>
  <c r="H6" i="2"/>
  <c r="H4" i="2"/>
  <c r="G11" i="2"/>
  <c r="G12" i="2"/>
  <c r="G10" i="2"/>
  <c r="F11" i="2"/>
  <c r="F12" i="2"/>
  <c r="F10" i="2"/>
  <c r="E11" i="2"/>
  <c r="E12" i="2"/>
  <c r="E10" i="2"/>
  <c r="D11" i="2"/>
  <c r="D12" i="2"/>
  <c r="D10" i="2"/>
  <c r="C11" i="2"/>
  <c r="C12" i="2"/>
  <c r="C10" i="2"/>
  <c r="G5" i="2"/>
  <c r="G6" i="2"/>
  <c r="G4" i="2"/>
  <c r="F5" i="2"/>
  <c r="F6" i="2"/>
  <c r="F4" i="2"/>
  <c r="E5" i="2"/>
  <c r="E6" i="2"/>
  <c r="E4" i="2"/>
  <c r="D5" i="2"/>
  <c r="D6" i="2"/>
  <c r="D4" i="2"/>
  <c r="C5" i="2"/>
  <c r="C6" i="2"/>
  <c r="C4" i="2"/>
  <c r="H18" i="1"/>
  <c r="E18" i="1"/>
  <c r="F18" i="1"/>
  <c r="G18" i="1"/>
  <c r="D18" i="1"/>
  <c r="L6" i="1"/>
  <c r="L7" i="1"/>
  <c r="L8" i="1"/>
  <c r="L9" i="1"/>
  <c r="L10" i="1"/>
  <c r="L11" i="1"/>
  <c r="L12" i="1"/>
  <c r="L13" i="1"/>
  <c r="L14" i="1"/>
  <c r="L15" i="1"/>
  <c r="L16" i="1"/>
  <c r="L17" i="1"/>
  <c r="L5" i="1"/>
  <c r="I5" i="1"/>
  <c r="J5" i="1" s="1"/>
  <c r="K5" i="1" s="1"/>
  <c r="I15" i="1"/>
  <c r="J15" i="1" s="1"/>
  <c r="K15" i="1" s="1"/>
  <c r="I14" i="1"/>
  <c r="J14" i="1" s="1"/>
  <c r="K14" i="1" s="1"/>
  <c r="I6" i="1"/>
  <c r="J6" i="1" s="1"/>
  <c r="K6" i="1" s="1"/>
  <c r="I7" i="1"/>
  <c r="J7" i="1" s="1"/>
  <c r="K7" i="1" s="1"/>
  <c r="I8" i="1"/>
  <c r="J8" i="1" s="1"/>
  <c r="K8" i="1" s="1"/>
  <c r="I9" i="1"/>
  <c r="J9" i="1" s="1"/>
  <c r="K9" i="1" s="1"/>
  <c r="I10" i="1"/>
  <c r="J10" i="1" s="1"/>
  <c r="K10" i="1" s="1"/>
  <c r="I11" i="1"/>
  <c r="J11" i="1" s="1"/>
  <c r="K11" i="1" s="1"/>
  <c r="I12" i="1"/>
  <c r="J12" i="1" s="1"/>
  <c r="K12" i="1" s="1"/>
  <c r="I13" i="1"/>
  <c r="J13" i="1" s="1"/>
  <c r="K13" i="1" s="1"/>
  <c r="I16" i="1"/>
  <c r="J16" i="1" s="1"/>
  <c r="K16" i="1" s="1"/>
  <c r="I17" i="1"/>
  <c r="J17" i="1" s="1"/>
  <c r="K17" i="1" s="1"/>
  <c r="J18" i="1" l="1"/>
  <c r="I18" i="1"/>
</calcChain>
</file>

<file path=xl/sharedStrings.xml><?xml version="1.0" encoding="utf-8"?>
<sst xmlns="http://schemas.openxmlformats.org/spreadsheetml/2006/main" count="74" uniqueCount="35">
  <si>
    <t>Customer Name</t>
  </si>
  <si>
    <t>Abdul Rehman</t>
  </si>
  <si>
    <t>Muhammad Yahya</t>
  </si>
  <si>
    <t>Abdul Rafay</t>
  </si>
  <si>
    <t>Abdul Sattar</t>
  </si>
  <si>
    <t>Rayyan</t>
  </si>
  <si>
    <t>Hamza</t>
  </si>
  <si>
    <t>Asim</t>
  </si>
  <si>
    <t>Siddiq</t>
  </si>
  <si>
    <t>Anas Junaid</t>
  </si>
  <si>
    <t>Zohaib</t>
  </si>
  <si>
    <t>Hammad</t>
  </si>
  <si>
    <t>Zarah</t>
  </si>
  <si>
    <t>Sidra</t>
  </si>
  <si>
    <t>English</t>
  </si>
  <si>
    <t>Maths</t>
  </si>
  <si>
    <t>Physics</t>
  </si>
  <si>
    <t>Chemistry</t>
  </si>
  <si>
    <t>Urdu</t>
  </si>
  <si>
    <t>Marks (Out Of 100)</t>
  </si>
  <si>
    <t>Percentage</t>
  </si>
  <si>
    <t>Grade</t>
  </si>
  <si>
    <t>#</t>
  </si>
  <si>
    <t>STUDENTS GRADE SHEET</t>
  </si>
  <si>
    <t>Obtained
Marks</t>
  </si>
  <si>
    <t>Average</t>
  </si>
  <si>
    <t>Teachers</t>
  </si>
  <si>
    <t>Sir Ali</t>
  </si>
  <si>
    <t>Sir Ahmed</t>
  </si>
  <si>
    <t>Sir Hasan</t>
  </si>
  <si>
    <t xml:space="preserve">Average: </t>
  </si>
  <si>
    <t>Subject Wise Progress</t>
  </si>
  <si>
    <t>Subject Wise Passing</t>
  </si>
  <si>
    <t>Subject Wise Fail Remarks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</si>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</sst>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0" xfId="1" applyFont="1"/>
    <xf numFmtId="9" fontId="0" fillId="0" borderId="2" xfId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9" fontId="3" fillId="0" borderId="1" xfId="1" applyFont="1" applyBorder="1" applyAlignment="1">
      <alignment horizontal="center" vertical="center"/>
    </xf>
    <xf numFmtId="9" fontId="3" fillId="0" borderId="2" xfId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" fontId="0" fillId="0" borderId="0" xfId="0" applyNumberFormat="1"/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13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1" fontId="0" fillId="0" borderId="9" xfId="0" applyNumberFormat="1" applyBorder="1" applyAlignment="1">
      <alignment horizontal="center" vertical="center"/>
    </xf>
    <xf numFmtId="1" fontId="0" fillId="0" borderId="2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1" fontId="0" fillId="0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BD4A8-9C01-4DCA-BD8B-F817C3B02961}">
  <dimension ref="A1:L18"/>
  <sheetViews>
    <sheetView zoomScale="115" zoomScaleNormal="115" workbookViewId="0">
      <selection activeCell="D12" sqref="D12"/>
    </sheetView>
  </sheetViews>
  <sheetFormatPr defaultRowHeight="15" x14ac:dyDescent="0.25"/>
  <cols>
    <col min="1" max="1" width="3.140625" bestFit="1" customWidth="1"/>
    <col min="2" max="3" width="23.140625" customWidth="1"/>
    <col min="4" max="8" width="11.42578125" customWidth="1"/>
    <col min="9" max="9" width="10.7109375" customWidth="1"/>
    <col min="10" max="10" width="10.7109375" style="3" customWidth="1"/>
    <col min="11" max="11" width="10.7109375" customWidth="1"/>
  </cols>
  <sheetData>
    <row r="1" spans="1:12" ht="21.75" thickBot="1" x14ac:dyDescent="0.3">
      <c r="A1" s="19" t="s">
        <v>23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</row>
    <row r="2" spans="1:12" ht="15.75" thickBot="1" x14ac:dyDescent="0.3">
      <c r="A2" s="22"/>
      <c r="B2" s="22"/>
      <c r="C2" s="22"/>
      <c r="D2" s="22"/>
      <c r="E2" s="22"/>
      <c r="F2" s="22"/>
      <c r="G2" s="22"/>
      <c r="H2" s="22"/>
      <c r="I2" s="22"/>
      <c r="J2" s="23"/>
      <c r="K2" s="22"/>
      <c r="L2" s="22"/>
    </row>
    <row r="3" spans="1:12" ht="20.25" customHeight="1" x14ac:dyDescent="0.25">
      <c r="A3" s="15" t="s">
        <v>22</v>
      </c>
      <c r="B3" s="10" t="s">
        <v>0</v>
      </c>
      <c r="C3" s="10" t="s">
        <v>26</v>
      </c>
      <c r="D3" s="10" t="s">
        <v>19</v>
      </c>
      <c r="E3" s="10"/>
      <c r="F3" s="10"/>
      <c r="G3" s="10"/>
      <c r="H3" s="10"/>
      <c r="I3" s="11" t="s">
        <v>24</v>
      </c>
      <c r="J3" s="13" t="s">
        <v>20</v>
      </c>
      <c r="K3" s="10" t="s">
        <v>21</v>
      </c>
      <c r="L3" s="25" t="s">
        <v>25</v>
      </c>
    </row>
    <row r="4" spans="1:12" ht="20.25" customHeight="1" x14ac:dyDescent="0.25">
      <c r="A4" s="16"/>
      <c r="B4" s="17"/>
      <c r="C4" s="17"/>
      <c r="D4" s="9" t="s">
        <v>14</v>
      </c>
      <c r="E4" s="9" t="s">
        <v>15</v>
      </c>
      <c r="F4" s="9" t="s">
        <v>16</v>
      </c>
      <c r="G4" s="9" t="s">
        <v>17</v>
      </c>
      <c r="H4" s="9" t="s">
        <v>18</v>
      </c>
      <c r="I4" s="12"/>
      <c r="J4" s="14"/>
      <c r="K4" s="17"/>
      <c r="L4" s="26"/>
    </row>
    <row r="5" spans="1:12" ht="23.25" customHeight="1" x14ac:dyDescent="0.25">
      <c r="A5" s="5">
        <v>1</v>
      </c>
      <c r="B5" s="1" t="s">
        <v>1</v>
      </c>
      <c r="C5" s="1" t="s">
        <v>27</v>
      </c>
      <c r="D5" s="1">
        <v>65</v>
      </c>
      <c r="E5" s="1">
        <v>68</v>
      </c>
      <c r="F5" s="1">
        <v>67</v>
      </c>
      <c r="G5" s="1">
        <v>58</v>
      </c>
      <c r="H5" s="1">
        <v>49</v>
      </c>
      <c r="I5" s="1">
        <f>SUM(D5:H5)</f>
        <v>307</v>
      </c>
      <c r="J5" s="4">
        <f>I5/500</f>
        <v>0.61399999999999999</v>
      </c>
      <c r="K5" s="1" t="str">
        <f>IF(AND((J5&gt;=0.4),(J5&lt;0.5)),"D",IF(AND((J5&gt;=0.5),(J5&lt;0.6)),"C",IF(AND((J5&gt;=0.6),(J5&lt;0.7)),"B",IF(AND((J5&gt;=0.7),(J5&lt;0.8)),"A",IF(AND((J5&gt;=0.8),(J5&lt;=100)),"A+","Fail")))))</f>
        <v>B</v>
      </c>
      <c r="L5" s="27">
        <f>AVERAGE(D5:H5)</f>
        <v>61.4</v>
      </c>
    </row>
    <row r="6" spans="1:12" ht="23.25" customHeight="1" x14ac:dyDescent="0.25">
      <c r="A6" s="5">
        <v>2</v>
      </c>
      <c r="B6" s="1" t="s">
        <v>2</v>
      </c>
      <c r="C6" s="1" t="s">
        <v>28</v>
      </c>
      <c r="D6" s="1">
        <v>85</v>
      </c>
      <c r="E6" s="1">
        <v>98</v>
      </c>
      <c r="F6" s="1">
        <v>78</v>
      </c>
      <c r="G6" s="1">
        <v>89</v>
      </c>
      <c r="H6" s="1">
        <v>98</v>
      </c>
      <c r="I6" s="1">
        <f t="shared" ref="I6:I17" si="0">SUM(D6:H6)</f>
        <v>448</v>
      </c>
      <c r="J6" s="4">
        <f t="shared" ref="J6:J17" si="1">I6/500</f>
        <v>0.89600000000000002</v>
      </c>
      <c r="K6" s="1" t="str">
        <f t="shared" ref="K6:K17" si="2">IF(AND((J6&gt;=0.4),(J6&lt;0.5)),"D",IF(AND((J6&gt;=0.5),(J6&lt;0.6)),"C",IF(AND((J6&gt;=0.6),(J6&lt;0.7)),"B",IF(AND((J6&gt;=0.7),(J6&lt;0.8)),"A",IF(AND((J6&gt;=0.8),(J6&lt;=100)),"A+","Fail")))))</f>
        <v>A+</v>
      </c>
      <c r="L6" s="27">
        <f t="shared" ref="L6:L17" si="3">AVERAGE(D6:H6)</f>
        <v>89.6</v>
      </c>
    </row>
    <row r="7" spans="1:12" ht="23.25" customHeight="1" x14ac:dyDescent="0.25">
      <c r="A7" s="5">
        <v>3</v>
      </c>
      <c r="B7" s="1" t="s">
        <v>3</v>
      </c>
      <c r="C7" s="1" t="s">
        <v>29</v>
      </c>
      <c r="D7" s="1">
        <v>61</v>
      </c>
      <c r="E7" s="1"/>
      <c r="F7" s="1">
        <v>72</v>
      </c>
      <c r="G7" s="1">
        <v>81</v>
      </c>
      <c r="H7" s="1">
        <v>99</v>
      </c>
      <c r="I7" s="1">
        <f t="shared" si="0"/>
        <v>313</v>
      </c>
      <c r="J7" s="4">
        <f t="shared" si="1"/>
        <v>0.626</v>
      </c>
      <c r="K7" s="1" t="str">
        <f t="shared" si="2"/>
        <v>B</v>
      </c>
      <c r="L7" s="27">
        <f t="shared" si="3"/>
        <v>78.25</v>
      </c>
    </row>
    <row r="8" spans="1:12" ht="23.25" customHeight="1" x14ac:dyDescent="0.25">
      <c r="A8" s="5">
        <v>4</v>
      </c>
      <c r="B8" s="1" t="s">
        <v>4</v>
      </c>
      <c r="C8" s="1" t="s">
        <v>29</v>
      </c>
      <c r="D8" s="1">
        <v>48</v>
      </c>
      <c r="E8" s="1"/>
      <c r="F8" s="1">
        <v>50</v>
      </c>
      <c r="G8" s="1">
        <v>41</v>
      </c>
      <c r="H8" s="1">
        <v>42</v>
      </c>
      <c r="I8" s="1">
        <f t="shared" si="0"/>
        <v>181</v>
      </c>
      <c r="J8" s="4">
        <f t="shared" si="1"/>
        <v>0.36199999999999999</v>
      </c>
      <c r="K8" s="1" t="str">
        <f t="shared" si="2"/>
        <v>Fail</v>
      </c>
      <c r="L8" s="27">
        <f t="shared" si="3"/>
        <v>45.25</v>
      </c>
    </row>
    <row r="9" spans="1:12" ht="23.25" customHeight="1" x14ac:dyDescent="0.25">
      <c r="A9" s="5">
        <v>5</v>
      </c>
      <c r="B9" s="1" t="s">
        <v>5</v>
      </c>
      <c r="C9" s="1" t="s">
        <v>27</v>
      </c>
      <c r="D9" s="1">
        <v>79</v>
      </c>
      <c r="E9" s="1">
        <v>79</v>
      </c>
      <c r="F9" s="1">
        <v>75</v>
      </c>
      <c r="G9" s="1"/>
      <c r="H9" s="1">
        <v>77</v>
      </c>
      <c r="I9" s="1">
        <f t="shared" si="0"/>
        <v>310</v>
      </c>
      <c r="J9" s="4">
        <f t="shared" si="1"/>
        <v>0.62</v>
      </c>
      <c r="K9" s="1" t="str">
        <f t="shared" si="2"/>
        <v>B</v>
      </c>
      <c r="L9" s="27">
        <f t="shared" si="3"/>
        <v>77.5</v>
      </c>
    </row>
    <row r="10" spans="1:12" ht="23.25" customHeight="1" x14ac:dyDescent="0.25">
      <c r="A10" s="5">
        <v>6</v>
      </c>
      <c r="B10" s="1" t="s">
        <v>6</v>
      </c>
      <c r="C10" s="1" t="s">
        <v>28</v>
      </c>
      <c r="D10" s="1"/>
      <c r="E10" s="1">
        <v>56</v>
      </c>
      <c r="F10" s="1">
        <v>54</v>
      </c>
      <c r="G10" s="1">
        <v>48</v>
      </c>
      <c r="H10" s="1">
        <v>48</v>
      </c>
      <c r="I10" s="1">
        <f t="shared" si="0"/>
        <v>206</v>
      </c>
      <c r="J10" s="4">
        <f t="shared" si="1"/>
        <v>0.41199999999999998</v>
      </c>
      <c r="K10" s="1" t="str">
        <f t="shared" si="2"/>
        <v>D</v>
      </c>
      <c r="L10" s="27">
        <f t="shared" si="3"/>
        <v>51.5</v>
      </c>
    </row>
    <row r="11" spans="1:12" ht="23.25" customHeight="1" x14ac:dyDescent="0.25">
      <c r="A11" s="5">
        <v>7</v>
      </c>
      <c r="B11" s="1" t="s">
        <v>7</v>
      </c>
      <c r="C11" s="1" t="s">
        <v>29</v>
      </c>
      <c r="D11" s="1">
        <v>92</v>
      </c>
      <c r="E11" s="1">
        <v>95</v>
      </c>
      <c r="F11" s="1">
        <v>94</v>
      </c>
      <c r="G11" s="1">
        <v>96</v>
      </c>
      <c r="H11" s="1">
        <v>97</v>
      </c>
      <c r="I11" s="1">
        <f t="shared" si="0"/>
        <v>474</v>
      </c>
      <c r="J11" s="4">
        <f t="shared" si="1"/>
        <v>0.94799999999999995</v>
      </c>
      <c r="K11" s="1" t="str">
        <f t="shared" si="2"/>
        <v>A+</v>
      </c>
      <c r="L11" s="27">
        <f t="shared" si="3"/>
        <v>94.8</v>
      </c>
    </row>
    <row r="12" spans="1:12" ht="23.25" customHeight="1" x14ac:dyDescent="0.25">
      <c r="A12" s="5">
        <v>8</v>
      </c>
      <c r="B12" s="1" t="s">
        <v>8</v>
      </c>
      <c r="C12" s="1" t="s">
        <v>28</v>
      </c>
      <c r="D12" s="1">
        <v>98</v>
      </c>
      <c r="E12" s="1">
        <v>78</v>
      </c>
      <c r="F12" s="1">
        <v>58</v>
      </c>
      <c r="G12" s="1">
        <v>79</v>
      </c>
      <c r="H12" s="1">
        <v>42</v>
      </c>
      <c r="I12" s="1">
        <f t="shared" si="0"/>
        <v>355</v>
      </c>
      <c r="J12" s="4">
        <f t="shared" si="1"/>
        <v>0.71</v>
      </c>
      <c r="K12" s="1" t="str">
        <f t="shared" si="2"/>
        <v>A</v>
      </c>
      <c r="L12" s="27">
        <f t="shared" si="3"/>
        <v>71</v>
      </c>
    </row>
    <row r="13" spans="1:12" ht="23.25" customHeight="1" x14ac:dyDescent="0.25">
      <c r="A13" s="5">
        <v>9</v>
      </c>
      <c r="B13" s="1" t="s">
        <v>9</v>
      </c>
      <c r="C13" s="1" t="s">
        <v>28</v>
      </c>
      <c r="D13" s="1">
        <v>84</v>
      </c>
      <c r="E13" s="1">
        <v>48</v>
      </c>
      <c r="F13" s="1">
        <v>81</v>
      </c>
      <c r="G13" s="1">
        <v>98</v>
      </c>
      <c r="H13" s="1">
        <v>39</v>
      </c>
      <c r="I13" s="1">
        <f t="shared" si="0"/>
        <v>350</v>
      </c>
      <c r="J13" s="4">
        <f t="shared" si="1"/>
        <v>0.7</v>
      </c>
      <c r="K13" s="1" t="str">
        <f t="shared" si="2"/>
        <v>A</v>
      </c>
      <c r="L13" s="27">
        <f t="shared" si="3"/>
        <v>70</v>
      </c>
    </row>
    <row r="14" spans="1:12" ht="23.25" customHeight="1" x14ac:dyDescent="0.25">
      <c r="A14" s="5">
        <v>10</v>
      </c>
      <c r="B14" s="1" t="s">
        <v>10</v>
      </c>
      <c r="C14" s="1" t="s">
        <v>29</v>
      </c>
      <c r="D14" s="1">
        <v>45</v>
      </c>
      <c r="E14" s="1">
        <v>47</v>
      </c>
      <c r="F14" s="1">
        <v>46</v>
      </c>
      <c r="G14" s="1">
        <v>47</v>
      </c>
      <c r="H14" s="1">
        <v>49</v>
      </c>
      <c r="I14" s="1">
        <f>SUM(D14:H14)</f>
        <v>234</v>
      </c>
      <c r="J14" s="4">
        <f t="shared" si="1"/>
        <v>0.46800000000000003</v>
      </c>
      <c r="K14" s="1" t="str">
        <f t="shared" si="2"/>
        <v>D</v>
      </c>
      <c r="L14" s="27">
        <f t="shared" si="3"/>
        <v>46.8</v>
      </c>
    </row>
    <row r="15" spans="1:12" ht="23.25" customHeight="1" x14ac:dyDescent="0.25">
      <c r="A15" s="5">
        <v>11</v>
      </c>
      <c r="B15" s="1" t="s">
        <v>11</v>
      </c>
      <c r="C15" s="1" t="s">
        <v>28</v>
      </c>
      <c r="D15" s="1">
        <v>54</v>
      </c>
      <c r="E15" s="1">
        <v>56</v>
      </c>
      <c r="F15" s="1">
        <v>58</v>
      </c>
      <c r="G15" s="1"/>
      <c r="H15" s="1">
        <v>57</v>
      </c>
      <c r="I15" s="1">
        <f>SUM(D15:H15)</f>
        <v>225</v>
      </c>
      <c r="J15" s="4">
        <f t="shared" si="1"/>
        <v>0.45</v>
      </c>
      <c r="K15" s="1" t="str">
        <f t="shared" si="2"/>
        <v>D</v>
      </c>
      <c r="L15" s="27">
        <f t="shared" si="3"/>
        <v>56.25</v>
      </c>
    </row>
    <row r="16" spans="1:12" ht="23.25" customHeight="1" x14ac:dyDescent="0.25">
      <c r="A16" s="5">
        <v>12</v>
      </c>
      <c r="B16" s="1" t="s">
        <v>12</v>
      </c>
      <c r="C16" s="1" t="s">
        <v>27</v>
      </c>
      <c r="D16" s="1">
        <v>65</v>
      </c>
      <c r="E16" s="1">
        <v>68</v>
      </c>
      <c r="F16" s="1">
        <v>69</v>
      </c>
      <c r="G16" s="1">
        <v>67</v>
      </c>
      <c r="H16" s="1">
        <v>69</v>
      </c>
      <c r="I16" s="1">
        <f t="shared" si="0"/>
        <v>338</v>
      </c>
      <c r="J16" s="4">
        <f t="shared" si="1"/>
        <v>0.67600000000000005</v>
      </c>
      <c r="K16" s="1" t="str">
        <f t="shared" si="2"/>
        <v>B</v>
      </c>
      <c r="L16" s="27">
        <f t="shared" si="3"/>
        <v>67.599999999999994</v>
      </c>
    </row>
    <row r="17" spans="1:12" ht="23.25" customHeight="1" x14ac:dyDescent="0.25">
      <c r="A17" s="5">
        <v>13</v>
      </c>
      <c r="B17" s="1" t="s">
        <v>13</v>
      </c>
      <c r="C17" s="1" t="s">
        <v>28</v>
      </c>
      <c r="D17" s="1">
        <v>100</v>
      </c>
      <c r="E17" s="1">
        <v>100</v>
      </c>
      <c r="F17" s="1">
        <v>87</v>
      </c>
      <c r="G17" s="1">
        <v>98</v>
      </c>
      <c r="H17" s="1">
        <v>45</v>
      </c>
      <c r="I17" s="1">
        <f t="shared" si="0"/>
        <v>430</v>
      </c>
      <c r="J17" s="4">
        <f t="shared" si="1"/>
        <v>0.86</v>
      </c>
      <c r="K17" s="1" t="str">
        <f t="shared" si="2"/>
        <v>A+</v>
      </c>
      <c r="L17" s="27">
        <f t="shared" si="3"/>
        <v>86</v>
      </c>
    </row>
    <row r="18" spans="1:12" ht="15.75" thickBot="1" x14ac:dyDescent="0.3">
      <c r="A18" s="29" t="s">
        <v>30</v>
      </c>
      <c r="B18" s="30"/>
      <c r="C18" s="31"/>
      <c r="D18" s="28">
        <f>AVERAGE(D5:D17)</f>
        <v>73</v>
      </c>
      <c r="E18" s="28">
        <f t="shared" ref="E18:G18" si="4">AVERAGE(E5:E17)</f>
        <v>72.090909090909093</v>
      </c>
      <c r="F18" s="28">
        <f t="shared" si="4"/>
        <v>68.384615384615387</v>
      </c>
      <c r="G18" s="28">
        <f t="shared" si="4"/>
        <v>72.909090909090907</v>
      </c>
      <c r="H18" s="28">
        <f>AVERAGE(H5:H17)</f>
        <v>62.384615384615387</v>
      </c>
      <c r="I18" s="28">
        <f t="shared" ref="I18:J18" si="5">AVERAGE(I5:I17)</f>
        <v>320.84615384615387</v>
      </c>
      <c r="J18" s="7">
        <f t="shared" si="5"/>
        <v>0.64169230769230778</v>
      </c>
      <c r="K18" s="2"/>
      <c r="L18" s="8"/>
    </row>
  </sheetData>
  <mergeCells count="10">
    <mergeCell ref="L3:L4"/>
    <mergeCell ref="C3:C4"/>
    <mergeCell ref="A1:L1"/>
    <mergeCell ref="A18:C18"/>
    <mergeCell ref="D3:H3"/>
    <mergeCell ref="I3:I4"/>
    <mergeCell ref="J3:J4"/>
    <mergeCell ref="A3:A4"/>
    <mergeCell ref="B3:B4"/>
    <mergeCell ref="K3:K4"/>
  </mergeCells>
  <conditionalFormatting sqref="D5:H17">
    <cfRule type="cellIs" dxfId="1" priority="1" operator="greaterThan">
      <formula>85</formula>
    </cfRule>
    <cfRule type="cellIs" dxfId="0" priority="2" operator="lessThan">
      <formula>40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A9DDB-C08B-42D3-9434-16002760DA92}">
  <dimension ref="B1:H18"/>
  <sheetViews>
    <sheetView tabSelected="1" zoomScale="145" zoomScaleNormal="145" workbookViewId="0">
      <selection activeCell="F15" sqref="F15"/>
    </sheetView>
  </sheetViews>
  <sheetFormatPr defaultRowHeight="15" x14ac:dyDescent="0.25"/>
  <cols>
    <col min="2" max="2" width="16.85546875" customWidth="1"/>
    <col min="3" max="3" width="12" bestFit="1" customWidth="1"/>
    <col min="4" max="4" width="11" bestFit="1" customWidth="1"/>
    <col min="5" max="5" width="12.28515625" bestFit="1" customWidth="1"/>
    <col min="6" max="6" width="14.28515625" bestFit="1" customWidth="1"/>
    <col min="7" max="7" width="9.85546875" bestFit="1" customWidth="1"/>
  </cols>
  <sheetData>
    <row r="1" spans="2:8" ht="15.75" thickBot="1" x14ac:dyDescent="0.3"/>
    <row r="2" spans="2:8" x14ac:dyDescent="0.25">
      <c r="B2" s="34" t="s">
        <v>31</v>
      </c>
      <c r="C2" s="35"/>
      <c r="D2" s="35"/>
      <c r="E2" s="35"/>
      <c r="F2" s="35"/>
      <c r="G2" s="35"/>
      <c r="H2" s="25"/>
    </row>
    <row r="3" spans="2:8" x14ac:dyDescent="0.25">
      <c r="B3" s="5" t="s">
        <v>26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36" t="s">
        <v>25</v>
      </c>
    </row>
    <row r="4" spans="2:8" x14ac:dyDescent="0.25">
      <c r="B4" s="5" t="s">
        <v>27</v>
      </c>
      <c r="C4" s="24">
        <f>AVERAGEIFS(Sheet1!$D$5:$D$17,Sheet1!$C$5:$C$17,Sheet2!B4)</f>
        <v>69.666666666666671</v>
      </c>
      <c r="D4" s="24">
        <f>AVERAGEIFS(Sheet1!$E$5:$E$17,Sheet1!$C$5:$C$17,Sheet2!B4)</f>
        <v>71.666666666666671</v>
      </c>
      <c r="E4" s="24">
        <f>AVERAGEIFS(Sheet1!$F$5:$F$17,Sheet1!$C$5:$C$17,Sheet2!B4)</f>
        <v>70.333333333333329</v>
      </c>
      <c r="F4" s="24">
        <f>AVERAGEIFS(Sheet1!$G$5:$G$17,Sheet1!$C$5:$C$17,Sheet2!B4)</f>
        <v>62.5</v>
      </c>
      <c r="G4" s="24">
        <f>AVERAGEIFS(Sheet1!$H$5:$H$17,Sheet1!$C$5:$C$17,Sheet2!B4)</f>
        <v>65</v>
      </c>
      <c r="H4" s="27">
        <f>AVERAGE(C4:G4)</f>
        <v>67.833333333333343</v>
      </c>
    </row>
    <row r="5" spans="2:8" x14ac:dyDescent="0.25">
      <c r="B5" s="5" t="s">
        <v>28</v>
      </c>
      <c r="C5" s="24">
        <f>AVERAGEIFS(Sheet1!$D$5:$D$17,Sheet1!$C$5:$C$17,Sheet2!B5)</f>
        <v>84.2</v>
      </c>
      <c r="D5" s="24">
        <f>AVERAGEIFS(Sheet1!$E$5:$E$17,Sheet1!$C$5:$C$17,Sheet2!B5)</f>
        <v>72.666666666666671</v>
      </c>
      <c r="E5" s="24">
        <f>AVERAGEIFS(Sheet1!$F$5:$F$17,Sheet1!$C$5:$C$17,Sheet2!B5)</f>
        <v>69.333333333333329</v>
      </c>
      <c r="F5" s="24">
        <f>AVERAGEIFS(Sheet1!$G$5:$G$17,Sheet1!$C$5:$C$17,Sheet2!B5)</f>
        <v>82.4</v>
      </c>
      <c r="G5" s="24">
        <f>AVERAGEIFS(Sheet1!$H$5:$H$17,Sheet1!$C$5:$C$17,Sheet2!B5)</f>
        <v>54.833333333333336</v>
      </c>
      <c r="H5" s="27">
        <f t="shared" ref="H5:H6" si="0">AVERAGE(C5:G5)</f>
        <v>72.686666666666667</v>
      </c>
    </row>
    <row r="6" spans="2:8" ht="15.75" thickBot="1" x14ac:dyDescent="0.3">
      <c r="B6" s="6" t="s">
        <v>29</v>
      </c>
      <c r="C6" s="28">
        <f>AVERAGEIFS(Sheet1!$D$5:$D$17,Sheet1!$C$5:$C$17,Sheet2!B6)</f>
        <v>61.5</v>
      </c>
      <c r="D6" s="28">
        <f>AVERAGEIFS(Sheet1!$E$5:$E$17,Sheet1!$C$5:$C$17,Sheet2!B6)</f>
        <v>71</v>
      </c>
      <c r="E6" s="28">
        <f>AVERAGEIFS(Sheet1!$F$5:$F$17,Sheet1!$C$5:$C$17,Sheet2!B6)</f>
        <v>65.5</v>
      </c>
      <c r="F6" s="28">
        <f>AVERAGEIFS(Sheet1!$G$5:$G$17,Sheet1!$C$5:$C$17,Sheet2!B6)</f>
        <v>66.25</v>
      </c>
      <c r="G6" s="28">
        <f>AVERAGEIFS(Sheet1!$H$5:$H$17,Sheet1!$C$5:$C$17,Sheet2!B6)</f>
        <v>71.75</v>
      </c>
      <c r="H6" s="32">
        <f t="shared" si="0"/>
        <v>67.2</v>
      </c>
    </row>
    <row r="7" spans="2:8" ht="15.75" thickBot="1" x14ac:dyDescent="0.3">
      <c r="G7" s="18"/>
    </row>
    <row r="8" spans="2:8" x14ac:dyDescent="0.25">
      <c r="B8" s="34" t="s">
        <v>32</v>
      </c>
      <c r="C8" s="35"/>
      <c r="D8" s="35"/>
      <c r="E8" s="35"/>
      <c r="F8" s="35"/>
      <c r="G8" s="35"/>
      <c r="H8" s="25"/>
    </row>
    <row r="9" spans="2:8" x14ac:dyDescent="0.25">
      <c r="B9" s="5" t="s">
        <v>26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18</v>
      </c>
      <c r="H9" s="36" t="s">
        <v>25</v>
      </c>
    </row>
    <row r="10" spans="2:8" x14ac:dyDescent="0.25">
      <c r="B10" s="5" t="s">
        <v>27</v>
      </c>
      <c r="C10" s="33">
        <f>COUNTIFS(Sheet1!$C$5:$C$17,Sheet2!B10,Sheet1!$D$5:$D$17,"&lt;&gt;",Sheet1!$D$5:$D$17,"&gt;=40")</f>
        <v>3</v>
      </c>
      <c r="D10" s="24">
        <f>COUNTIFS(Sheet1!$C$5:$C$17,Sheet2!B10,Sheet1!$E$5:$E$17,"&lt;&gt;",Sheet1!$E$5:$E$17,"&gt;=40")</f>
        <v>3</v>
      </c>
      <c r="E10" s="24">
        <f>COUNTIFS(Sheet1!$C$5:$C$17,Sheet2!B10,Sheet1!$F$5:$F$17,"&lt;&gt;",Sheet1!$F$5:$F$17,"&gt;=40")</f>
        <v>3</v>
      </c>
      <c r="F10" s="24">
        <f>COUNTIFS(Sheet1!$C$5:$C$17,Sheet2!B10,Sheet1!$G$5:$G$17,"&lt;&gt;",Sheet1!$G$5:$G$17,"&gt;=40")</f>
        <v>2</v>
      </c>
      <c r="G10" s="24">
        <f>COUNTIFS(Sheet1!$C$5:$C$17,Sheet2!B10,Sheet1!$H$5:$H$17,"&lt;&gt;",Sheet1!$H$5:$H$17,"&gt;=40")</f>
        <v>3</v>
      </c>
      <c r="H10" s="27">
        <f>AVERAGE(C10:G10)</f>
        <v>2.8</v>
      </c>
    </row>
    <row r="11" spans="2:8" x14ac:dyDescent="0.25">
      <c r="B11" s="5" t="s">
        <v>28</v>
      </c>
      <c r="C11" s="33">
        <f>COUNTIFS(Sheet1!$C$5:$C$17,Sheet2!B11,Sheet1!$D$5:$D$17,"&lt;&gt;",Sheet1!$D$5:$D$17,"&gt;=40")</f>
        <v>5</v>
      </c>
      <c r="D11" s="24">
        <f>COUNTIFS(Sheet1!$C$5:$C$17,Sheet2!B11,Sheet1!$E$5:$E$17,"&lt;&gt;",Sheet1!$E$5:$E$17,"&gt;=40")</f>
        <v>6</v>
      </c>
      <c r="E11" s="24">
        <f>COUNTIFS(Sheet1!$C$5:$C$17,Sheet2!B11,Sheet1!$F$5:$F$17,"&lt;&gt;",Sheet1!$F$5:$F$17,"&gt;=40")</f>
        <v>6</v>
      </c>
      <c r="F11" s="24">
        <f>COUNTIFS(Sheet1!$C$5:$C$17,Sheet2!B11,Sheet1!$G$5:$G$17,"&lt;&gt;",Sheet1!$G$5:$G$17,"&gt;=40")</f>
        <v>5</v>
      </c>
      <c r="G11" s="24">
        <f>COUNTIFS(Sheet1!$C$5:$C$17,Sheet2!B11,Sheet1!$H$5:$H$17,"&lt;&gt;",Sheet1!$H$5:$H$17,"&gt;=40")</f>
        <v>5</v>
      </c>
      <c r="H11" s="27">
        <f t="shared" ref="H11:H12" si="1">AVERAGE(C11:G11)</f>
        <v>5.4</v>
      </c>
    </row>
    <row r="12" spans="2:8" ht="15.75" thickBot="1" x14ac:dyDescent="0.3">
      <c r="B12" s="6" t="s">
        <v>29</v>
      </c>
      <c r="C12" s="37">
        <f>COUNTIFS(Sheet1!$C$5:$C$17,Sheet2!B12,Sheet1!$D$5:$D$17,"&lt;&gt;",Sheet1!$D$5:$D$17,"&gt;=40")</f>
        <v>4</v>
      </c>
      <c r="D12" s="28">
        <f>COUNTIFS(Sheet1!$C$5:$C$17,Sheet2!B12,Sheet1!$E$5:$E$17,"&lt;&gt;",Sheet1!$E$5:$E$17,"&gt;=40")</f>
        <v>2</v>
      </c>
      <c r="E12" s="28">
        <f>COUNTIFS(Sheet1!$C$5:$C$17,Sheet2!B12,Sheet1!$F$5:$F$17,"&lt;&gt;",Sheet1!$F$5:$F$17,"&gt;=40")</f>
        <v>4</v>
      </c>
      <c r="F12" s="28">
        <f>COUNTIFS(Sheet1!$C$5:$C$17,Sheet2!B12,Sheet1!$G$5:$G$17,"&lt;&gt;",Sheet1!$G$5:$G$17,"&gt;=40")</f>
        <v>4</v>
      </c>
      <c r="G12" s="28">
        <f>COUNTIFS(Sheet1!$C$5:$C$17,Sheet2!B12,Sheet1!$H$5:$H$17,"&lt;&gt;",Sheet1!$H$5:$H$17,"&gt;=40")</f>
        <v>4</v>
      </c>
      <c r="H12" s="32">
        <f t="shared" si="1"/>
        <v>3.6</v>
      </c>
    </row>
    <row r="13" spans="2:8" ht="15.75" thickBot="1" x14ac:dyDescent="0.3"/>
    <row r="14" spans="2:8" x14ac:dyDescent="0.25">
      <c r="B14" s="34" t="s">
        <v>33</v>
      </c>
      <c r="C14" s="35"/>
      <c r="D14" s="35"/>
      <c r="E14" s="35"/>
      <c r="F14" s="35"/>
      <c r="G14" s="35"/>
      <c r="H14" s="25"/>
    </row>
    <row r="15" spans="2:8" x14ac:dyDescent="0.25">
      <c r="B15" s="5" t="s">
        <v>26</v>
      </c>
      <c r="C15" s="1" t="s">
        <v>14</v>
      </c>
      <c r="D15" s="1" t="s">
        <v>15</v>
      </c>
      <c r="E15" s="1" t="s">
        <v>16</v>
      </c>
      <c r="F15" s="1" t="s">
        <v>17</v>
      </c>
      <c r="G15" s="1" t="s">
        <v>18</v>
      </c>
      <c r="H15" s="36" t="s">
        <v>34</v>
      </c>
    </row>
    <row r="16" spans="2:8" x14ac:dyDescent="0.25">
      <c r="B16" s="5" t="s">
        <v>27</v>
      </c>
      <c r="C16" s="33">
        <f>COUNTIFS(Sheet1!$C$5:$C$17,Sheet2!B16,Sheet1!$D$5:$D$17,"&lt;&gt;",Sheet1!$D$5:$D$17,"&lt;40")</f>
        <v>0</v>
      </c>
      <c r="D16" s="24">
        <f>COUNTIFS(Sheet1!$C$5:$C$17,Sheet2!B16,Sheet1!$E$5:$E$17,"&lt;&gt;",Sheet1!$E$5:$E$17,"&lt;40")</f>
        <v>0</v>
      </c>
      <c r="E16" s="24">
        <f>COUNTIFS(Sheet1!$C$5:$C$17,Sheet2!B16,Sheet1!$F$5:$F$17,"&lt;&gt;",Sheet1!$F$5:$F$17,"&lt;40")</f>
        <v>0</v>
      </c>
      <c r="F16" s="24">
        <f>COUNTIFS(Sheet1!$C$5:$C$17,Sheet2!B16,Sheet1!$G$5:$G$17,"&lt;&gt;",Sheet1!$G$5:$G$17,"&lt;40")</f>
        <v>0</v>
      </c>
      <c r="G16" s="24">
        <f>COUNTIFS(Sheet1!$C$5:$C$17,Sheet2!B16,Sheet1!$H$5:$H$17,"&lt;&gt;",Sheet1!$H$5:$H$17,"&lt;40")</f>
        <v>0</v>
      </c>
      <c r="H16" s="27">
        <f>SUM(C16:G16)</f>
        <v>0</v>
      </c>
    </row>
    <row r="17" spans="2:8" x14ac:dyDescent="0.25">
      <c r="B17" s="5" t="s">
        <v>28</v>
      </c>
      <c r="C17" s="33">
        <f>COUNTIFS(Sheet1!$C$5:$C$17,Sheet2!B17,Sheet1!$D$5:$D$17,"&lt;&gt;",Sheet1!$D$5:$D$17,"&lt;40")</f>
        <v>0</v>
      </c>
      <c r="D17" s="24">
        <f>COUNTIFS(Sheet1!$C$5:$C$17,Sheet2!B17,Sheet1!$E$5:$E$17,"&lt;&gt;",Sheet1!$E$5:$E$17,"&lt;40")</f>
        <v>0</v>
      </c>
      <c r="E17" s="24">
        <f>COUNTIFS(Sheet1!$C$5:$C$17,Sheet2!B17,Sheet1!$F$5:$F$17,"&lt;&gt;",Sheet1!$F$5:$F$17,"&lt;40")</f>
        <v>0</v>
      </c>
      <c r="F17" s="24">
        <f>COUNTIFS(Sheet1!$C$5:$C$17,Sheet2!B17,Sheet1!$G$5:$G$17,"&lt;&gt;",Sheet1!$G$5:$G$17,"&lt;40")</f>
        <v>0</v>
      </c>
      <c r="G17" s="24">
        <f>COUNTIFS(Sheet1!$C$5:$C$17,Sheet2!B17,Sheet1!$H$5:$H$17,"&lt;&gt;",Sheet1!$H$5:$H$17,"&lt;40")</f>
        <v>1</v>
      </c>
      <c r="H17" s="27">
        <f t="shared" ref="H17:H18" si="2">SUM(C17:G17)</f>
        <v>1</v>
      </c>
    </row>
    <row r="18" spans="2:8" ht="15.75" thickBot="1" x14ac:dyDescent="0.3">
      <c r="B18" s="6" t="s">
        <v>29</v>
      </c>
      <c r="C18" s="37">
        <f>COUNTIFS(Sheet1!$C$5:$C$17,Sheet2!B18,Sheet1!$D$5:$D$17,"&lt;&gt;",Sheet1!$D$5:$D$17,"&lt;40")</f>
        <v>0</v>
      </c>
      <c r="D18" s="28">
        <f>COUNTIFS(Sheet1!$C$5:$C$17,Sheet2!B18,Sheet1!$E$5:$E$17,"&lt;&gt;",Sheet1!$E$5:$E$17,"&lt;40")</f>
        <v>0</v>
      </c>
      <c r="E18" s="28">
        <f>COUNTIFS(Sheet1!$C$5:$C$17,Sheet2!B18,Sheet1!$F$5:$F$17,"&lt;&gt;",Sheet1!$F$5:$F$17,"&lt;40")</f>
        <v>0</v>
      </c>
      <c r="F18" s="28">
        <f>COUNTIFS(Sheet1!$C$5:$C$17,Sheet2!B18,Sheet1!$G$5:$G$17,"&lt;&gt;",Sheet1!$G$5:$G$17,"&lt;40")</f>
        <v>0</v>
      </c>
      <c r="G18" s="28">
        <f>COUNTIFS(Sheet1!$C$5:$C$17,Sheet2!B18,Sheet1!$H$5:$H$17,"&lt;&gt;",Sheet1!$H$5:$H$17,"&lt;40")</f>
        <v>0</v>
      </c>
      <c r="H18" s="32">
        <f t="shared" si="2"/>
        <v>0</v>
      </c>
    </row>
  </sheetData>
  <autoFilter ref="B3:G6" xr:uid="{75AA9DDB-C08B-42D3-9434-16002760DA92}"/>
  <mergeCells count="3">
    <mergeCell ref="B2:H2"/>
    <mergeCell ref="B8:H8"/>
    <mergeCell ref="B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2026-07-20T04:39:05Z</dcterms:created>
  <dcterms:modified xsi:type="dcterms:W3CDTF">2026-07-22T05:39:00Z</dcterms:modified>
</cp:coreProperties>
</file>